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filterPrivacy="1" codeName="ThisWorkbook"/>
  <bookViews>
    <workbookView xWindow="0" yWindow="0" windowWidth="23256" windowHeight="12288" activeTab="1"/>
  </bookViews>
  <sheets>
    <sheet name="員工薪資基本資料" sheetId="1" r:id="rId1"/>
    <sheet name="員工薪資試算表" sheetId="2" r:id="rId2"/>
  </sheets>
  <functionGroups builtInGroupCount="17"/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" i="2" l="1"/>
  <c r="J15" i="2"/>
  <c r="J27" i="2"/>
  <c r="J4" i="2"/>
  <c r="J16" i="2"/>
  <c r="J28" i="2"/>
  <c r="J17" i="2"/>
  <c r="J29" i="2"/>
  <c r="J6" i="2"/>
  <c r="J18" i="2"/>
  <c r="J30" i="2"/>
  <c r="J7" i="2"/>
  <c r="J19" i="2"/>
  <c r="J31" i="2"/>
  <c r="J8" i="2"/>
  <c r="J20" i="2"/>
  <c r="J9" i="2"/>
  <c r="J10" i="2"/>
  <c r="J22" i="2"/>
  <c r="J14" i="2"/>
  <c r="J5" i="2"/>
  <c r="J21" i="2"/>
  <c r="J23" i="2"/>
  <c r="J24" i="2"/>
  <c r="J13" i="2"/>
  <c r="J25" i="2"/>
  <c r="J26" i="2"/>
  <c r="J12" i="2"/>
  <c r="J11" i="2"/>
  <c r="J2" i="2"/>
</calcChain>
</file>

<file path=xl/comments1.xml><?xml version="1.0" encoding="utf-8"?>
<comments xmlns="http://schemas.openxmlformats.org/spreadsheetml/2006/main">
  <authors>
    <author>作者</author>
  </authors>
  <commentList>
    <comment ref="C1" authorId="0">
      <text>
        <r>
          <rPr>
            <b/>
            <sz val="9"/>
            <color indexed="81"/>
            <rFont val="新細明體"/>
            <family val="1"/>
            <charset val="136"/>
          </rPr>
          <t>作者:</t>
        </r>
        <r>
          <rPr>
            <sz val="9"/>
            <color indexed="81"/>
            <rFont val="新細明體"/>
            <family val="1"/>
            <charset val="136"/>
          </rPr>
          <t xml:space="preserve">
每小時加班津貼(本俸+伙食津貼+全勤獎金)/150
加班津貼=加班時數*每小時加班津貼</t>
        </r>
      </text>
    </comment>
    <comment ref="E1" authorId="0">
      <text>
        <r>
          <rPr>
            <b/>
            <sz val="9"/>
            <color indexed="81"/>
            <rFont val="新細明體"/>
            <family val="1"/>
            <charset val="136"/>
          </rPr>
          <t>作者:</t>
        </r>
        <r>
          <rPr>
            <sz val="9"/>
            <color indexed="81"/>
            <rFont val="新細明體"/>
            <family val="1"/>
            <charset val="136"/>
          </rPr>
          <t xml:space="preserve">
每小時事假扣薪(本俸+伙食津貼+全勤獎金)/450
事假扣薪=事假時數*每小時事假扣薪</t>
        </r>
      </text>
    </comment>
    <comment ref="G1" authorId="0">
      <text>
        <r>
          <rPr>
            <b/>
            <sz val="9"/>
            <color indexed="81"/>
            <rFont val="新細明體"/>
            <family val="1"/>
            <charset val="136"/>
          </rPr>
          <t>作者:</t>
        </r>
        <r>
          <rPr>
            <sz val="9"/>
            <color indexed="81"/>
            <rFont val="新細明體"/>
            <family val="1"/>
            <charset val="136"/>
          </rPr>
          <t xml:space="preserve">
每小時病假扣薪(本俸+伙食津貼+全勤獎金)/450
病假扣薪=病假時數*每小時病假扣薪</t>
        </r>
      </text>
    </comment>
    <comment ref="H1" authorId="0">
      <text>
        <r>
          <rPr>
            <b/>
            <sz val="9"/>
            <color indexed="81"/>
            <rFont val="新細明體"/>
            <family val="1"/>
            <charset val="136"/>
          </rPr>
          <t>作者:</t>
        </r>
        <r>
          <rPr>
            <sz val="9"/>
            <color indexed="81"/>
            <rFont val="新細明體"/>
            <family val="1"/>
            <charset val="136"/>
          </rPr>
          <t xml:space="preserve">
本俸+伙食津貼+全勤獎金+交通津貼+各項獎金+加班津貼+各項補助-事假扣薪-病假扣薪</t>
        </r>
      </text>
    </comment>
    <comment ref="I1" authorId="0">
      <text>
        <r>
          <rPr>
            <b/>
            <sz val="9"/>
            <color indexed="81"/>
            <rFont val="新細明體"/>
            <family val="1"/>
            <charset val="136"/>
          </rPr>
          <t>作者:</t>
        </r>
        <r>
          <rPr>
            <sz val="9"/>
            <color indexed="81"/>
            <rFont val="新細明體"/>
            <family val="1"/>
            <charset val="136"/>
          </rPr>
          <t xml:space="preserve">
本俸+伙食津貼+全勤獎金+交通津貼</t>
        </r>
      </text>
    </comment>
    <comment ref="J1" authorId="0">
      <text>
        <r>
          <rPr>
            <b/>
            <sz val="9"/>
            <color indexed="81"/>
            <rFont val="新細明體"/>
            <family val="1"/>
            <charset val="136"/>
          </rPr>
          <t>作者:</t>
        </r>
        <r>
          <rPr>
            <sz val="9"/>
            <color indexed="81"/>
            <rFont val="新細明體"/>
            <family val="1"/>
            <charset val="136"/>
          </rPr>
          <t xml:space="preserve">
查表</t>
        </r>
      </text>
    </comment>
    <comment ref="K1" authorId="0">
      <text>
        <r>
          <rPr>
            <b/>
            <sz val="9"/>
            <color indexed="81"/>
            <rFont val="新細明體"/>
            <family val="1"/>
            <charset val="136"/>
          </rPr>
          <t>作者:</t>
        </r>
        <r>
          <rPr>
            <sz val="9"/>
            <color indexed="81"/>
            <rFont val="新細明體"/>
            <family val="1"/>
            <charset val="136"/>
          </rPr>
          <t xml:space="preserve">
實際勞保投保薪資*6.5%*20%</t>
        </r>
      </text>
    </comment>
    <comment ref="L1" authorId="0">
      <text>
        <r>
          <rPr>
            <b/>
            <sz val="9"/>
            <color indexed="81"/>
            <rFont val="新細明體"/>
            <family val="1"/>
            <charset val="136"/>
          </rPr>
          <t>作者:</t>
        </r>
        <r>
          <rPr>
            <sz val="9"/>
            <color indexed="81"/>
            <rFont val="新細明體"/>
            <family val="1"/>
            <charset val="136"/>
          </rPr>
          <t xml:space="preserve">
查表</t>
        </r>
      </text>
    </comment>
    <comment ref="M1" authorId="0">
      <text>
        <r>
          <rPr>
            <b/>
            <sz val="9"/>
            <color indexed="81"/>
            <rFont val="新細明體"/>
            <family val="1"/>
            <charset val="136"/>
          </rPr>
          <t>作者:</t>
        </r>
        <r>
          <rPr>
            <sz val="9"/>
            <color indexed="81"/>
            <rFont val="新細明體"/>
            <family val="1"/>
            <charset val="136"/>
          </rPr>
          <t xml:space="preserve">
實際健保投保薪資*4.25%*30%*(1+眷口數)</t>
        </r>
      </text>
    </comment>
    <comment ref="N1" authorId="0">
      <text>
        <r>
          <rPr>
            <b/>
            <sz val="9"/>
            <color indexed="81"/>
            <rFont val="新細明體"/>
            <family val="1"/>
            <charset val="136"/>
          </rPr>
          <t>作者:</t>
        </r>
        <r>
          <rPr>
            <sz val="9"/>
            <color indexed="81"/>
            <rFont val="新細明體"/>
            <family val="1"/>
            <charset val="136"/>
          </rPr>
          <t xml:space="preserve">
未扣勞保眷保薪資*預扣所得稅稅率</t>
        </r>
      </text>
    </comment>
    <comment ref="O1" authorId="0">
      <text>
        <r>
          <rPr>
            <b/>
            <sz val="9"/>
            <color indexed="81"/>
            <rFont val="新細明體"/>
            <family val="1"/>
            <charset val="136"/>
          </rPr>
          <t>作者:</t>
        </r>
        <r>
          <rPr>
            <sz val="9"/>
            <color indexed="81"/>
            <rFont val="新細明體"/>
            <family val="1"/>
            <charset val="136"/>
          </rPr>
          <t xml:space="preserve">
=未扣勞保眷保薪資-勞保費-健保費-預扣所得稅-互助金</t>
        </r>
      </text>
    </comment>
  </commentList>
</comments>
</file>

<file path=xl/sharedStrings.xml><?xml version="1.0" encoding="utf-8"?>
<sst xmlns="http://schemas.openxmlformats.org/spreadsheetml/2006/main" count="86" uniqueCount="55">
  <si>
    <t>員工編號</t>
    <phoneticPr fontId="2" type="noConversion"/>
  </si>
  <si>
    <t>本俸</t>
    <phoneticPr fontId="2" type="noConversion"/>
  </si>
  <si>
    <t>伙食津貼</t>
    <phoneticPr fontId="2" type="noConversion"/>
  </si>
  <si>
    <t>全勤獎金</t>
    <phoneticPr fontId="2" type="noConversion"/>
  </si>
  <si>
    <t>交通津貼</t>
    <phoneticPr fontId="2" type="noConversion"/>
  </si>
  <si>
    <t>各項獎金</t>
    <phoneticPr fontId="2" type="noConversion"/>
  </si>
  <si>
    <t>各項補助</t>
    <phoneticPr fontId="2" type="noConversion"/>
  </si>
  <si>
    <t>互助金</t>
    <phoneticPr fontId="2" type="noConversion"/>
  </si>
  <si>
    <t>眷口數</t>
    <phoneticPr fontId="2" type="noConversion"/>
  </si>
  <si>
    <t>撫養人數</t>
    <phoneticPr fontId="2" type="noConversion"/>
  </si>
  <si>
    <t>預扣所得稅稅率</t>
    <phoneticPr fontId="2" type="noConversion"/>
  </si>
  <si>
    <t>000001</t>
    <phoneticPr fontId="2" type="noConversion"/>
  </si>
  <si>
    <t>000002</t>
    <phoneticPr fontId="2" type="noConversion"/>
  </si>
  <si>
    <t>000003</t>
  </si>
  <si>
    <t>000004</t>
  </si>
  <si>
    <t>000005</t>
  </si>
  <si>
    <t>000006</t>
  </si>
  <si>
    <t>000007</t>
  </si>
  <si>
    <t>000008</t>
  </si>
  <si>
    <t>000009</t>
  </si>
  <si>
    <t>000010</t>
  </si>
  <si>
    <t>000011</t>
  </si>
  <si>
    <t>000012</t>
  </si>
  <si>
    <t>000013</t>
  </si>
  <si>
    <t>000014</t>
  </si>
  <si>
    <t>000015</t>
  </si>
  <si>
    <t>000016</t>
  </si>
  <si>
    <t>000017</t>
  </si>
  <si>
    <t>000018</t>
  </si>
  <si>
    <t>000019</t>
  </si>
  <si>
    <t>000020</t>
  </si>
  <si>
    <t>000021</t>
  </si>
  <si>
    <t>000022</t>
  </si>
  <si>
    <t>000023</t>
  </si>
  <si>
    <t>000024</t>
  </si>
  <si>
    <t>000025</t>
  </si>
  <si>
    <t>000026</t>
  </si>
  <si>
    <t>000027</t>
  </si>
  <si>
    <t>000028</t>
  </si>
  <si>
    <t>000029</t>
  </si>
  <si>
    <t>000030</t>
  </si>
  <si>
    <t>加班時數</t>
    <phoneticPr fontId="2" type="noConversion"/>
  </si>
  <si>
    <t>事假時數</t>
    <phoneticPr fontId="2" type="noConversion"/>
  </si>
  <si>
    <t>病假時數</t>
    <phoneticPr fontId="2" type="noConversion"/>
  </si>
  <si>
    <t>加班津貼</t>
    <phoneticPr fontId="2" type="noConversion"/>
  </si>
  <si>
    <t>事假扣薪</t>
    <phoneticPr fontId="2" type="noConversion"/>
  </si>
  <si>
    <t>病假扣薪</t>
    <phoneticPr fontId="2" type="noConversion"/>
  </si>
  <si>
    <t>未扣勞保健保薪資</t>
    <phoneticPr fontId="2" type="noConversion"/>
  </si>
  <si>
    <t>勞保健保投保薪資</t>
    <phoneticPr fontId="2" type="noConversion"/>
  </si>
  <si>
    <t>實際勞保投保薪資</t>
    <phoneticPr fontId="2" type="noConversion"/>
  </si>
  <si>
    <t>勞保費</t>
    <phoneticPr fontId="2" type="noConversion"/>
  </si>
  <si>
    <t>實際健保投保薪資</t>
    <phoneticPr fontId="2" type="noConversion"/>
  </si>
  <si>
    <t>健保費</t>
    <phoneticPr fontId="2" type="noConversion"/>
  </si>
  <si>
    <t>預扣所得稅</t>
    <phoneticPr fontId="2" type="noConversion"/>
  </si>
  <si>
    <t>實領薪資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</si>
</sst>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9"/>
      <name val="細明體"/>
      <family val="3"/>
      <charset val="136"/>
    </font>
    <font>
      <sz val="12"/>
      <name val="Times New Roman"/>
      <family val="1"/>
    </font>
    <font>
      <b/>
      <sz val="9"/>
      <color indexed="81"/>
      <name val="新細明體"/>
      <family val="1"/>
      <charset val="136"/>
    </font>
    <font>
      <sz val="9"/>
      <color indexed="81"/>
      <name val="新細明體"/>
      <family val="1"/>
      <charset val="136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center" vertical="center"/>
    </xf>
    <xf numFmtId="0" fontId="3" fillId="0" borderId="0" xfId="0" quotePrefix="1" applyFont="1" applyAlignment="1">
      <alignment horizontal="center" vertical="center"/>
    </xf>
    <xf numFmtId="9" fontId="0" fillId="0" borderId="0" xfId="0" applyNumberFormat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K31"/>
  <sheetViews>
    <sheetView workbookViewId="0">
      <selection activeCell="I31" sqref="I31"/>
    </sheetView>
  </sheetViews>
  <sheetFormatPr defaultColWidth="9" defaultRowHeight="15" x14ac:dyDescent="0.3"/>
  <cols>
    <col min="1" max="1" width="10.375" style="1" bestFit="1" customWidth="1"/>
    <col min="2" max="2" width="6.375" style="1" bestFit="1" customWidth="1"/>
    <col min="3" max="3" width="12.75" style="1" bestFit="1" customWidth="1"/>
    <col min="4" max="7" width="10.375" style="1" bestFit="1" customWidth="1"/>
    <col min="8" max="9" width="8.25" style="1" bestFit="1" customWidth="1"/>
    <col min="10" max="10" width="10.375" style="1" bestFit="1" customWidth="1"/>
    <col min="11" max="11" width="18" style="1" bestFit="1" customWidth="1"/>
    <col min="12" max="16384" width="9" style="1"/>
  </cols>
  <sheetData>
    <row r="1" spans="1:1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</row>
    <row r="2" spans="1:11" ht="15.6" x14ac:dyDescent="0.3">
      <c r="A2" s="2" t="s">
        <v>11</v>
      </c>
      <c r="B2" s="1">
        <v>25000</v>
      </c>
      <c r="C2" s="1">
        <v>2000</v>
      </c>
      <c r="D2" s="1">
        <v>2000</v>
      </c>
      <c r="E2" s="1">
        <v>1000</v>
      </c>
      <c r="F2" s="1">
        <v>1500</v>
      </c>
      <c r="G2" s="1">
        <v>500</v>
      </c>
      <c r="H2" s="1">
        <v>250</v>
      </c>
      <c r="I2" s="1">
        <v>2</v>
      </c>
      <c r="J2" s="1">
        <v>0</v>
      </c>
      <c r="K2" s="3">
        <v>0.06</v>
      </c>
    </row>
    <row r="3" spans="1:11" ht="15.6" x14ac:dyDescent="0.3">
      <c r="A3" s="2" t="s">
        <v>12</v>
      </c>
      <c r="B3" s="1">
        <v>30000</v>
      </c>
      <c r="C3" s="1">
        <v>1500</v>
      </c>
      <c r="D3" s="1">
        <v>3000</v>
      </c>
      <c r="E3" s="1">
        <v>1500</v>
      </c>
      <c r="F3" s="1">
        <v>2000</v>
      </c>
      <c r="G3" s="1">
        <v>0</v>
      </c>
      <c r="H3" s="1">
        <v>300</v>
      </c>
      <c r="I3" s="1">
        <v>0</v>
      </c>
      <c r="J3" s="1">
        <v>0</v>
      </c>
      <c r="K3" s="3">
        <v>0.1</v>
      </c>
    </row>
    <row r="4" spans="1:11" ht="15.6" x14ac:dyDescent="0.3">
      <c r="A4" s="2" t="s">
        <v>13</v>
      </c>
      <c r="B4" s="1">
        <v>35000</v>
      </c>
      <c r="C4" s="1">
        <v>1500</v>
      </c>
      <c r="D4" s="1">
        <v>3000</v>
      </c>
      <c r="E4" s="1">
        <v>1500</v>
      </c>
      <c r="F4" s="1">
        <v>1500</v>
      </c>
      <c r="G4" s="1">
        <v>1000</v>
      </c>
      <c r="H4" s="1">
        <v>350</v>
      </c>
      <c r="I4" s="1">
        <v>4</v>
      </c>
      <c r="J4" s="1">
        <v>3</v>
      </c>
      <c r="K4" s="3">
        <v>0.06</v>
      </c>
    </row>
    <row r="5" spans="1:11" ht="15.6" x14ac:dyDescent="0.3">
      <c r="A5" s="2" t="s">
        <v>14</v>
      </c>
      <c r="B5" s="1">
        <v>30000</v>
      </c>
      <c r="C5" s="1">
        <v>1500</v>
      </c>
      <c r="D5" s="1">
        <v>2500</v>
      </c>
      <c r="E5" s="1">
        <v>1500</v>
      </c>
      <c r="F5" s="1">
        <v>1500</v>
      </c>
      <c r="G5" s="1">
        <v>500</v>
      </c>
      <c r="H5" s="1">
        <v>300</v>
      </c>
      <c r="I5" s="1">
        <v>3</v>
      </c>
      <c r="J5" s="1">
        <v>1</v>
      </c>
      <c r="K5" s="3">
        <v>0.06</v>
      </c>
    </row>
    <row r="6" spans="1:11" ht="15.6" x14ac:dyDescent="0.3">
      <c r="A6" s="2" t="s">
        <v>15</v>
      </c>
      <c r="B6" s="1">
        <v>35000</v>
      </c>
      <c r="C6" s="1">
        <v>1500</v>
      </c>
      <c r="D6" s="1">
        <v>2500</v>
      </c>
      <c r="E6" s="1">
        <v>1500</v>
      </c>
      <c r="F6" s="1">
        <v>1500</v>
      </c>
      <c r="G6" s="1">
        <v>1500</v>
      </c>
      <c r="H6" s="1">
        <v>350</v>
      </c>
      <c r="I6" s="1">
        <v>3</v>
      </c>
      <c r="J6" s="1">
        <v>2</v>
      </c>
      <c r="K6" s="3">
        <v>0.06</v>
      </c>
    </row>
    <row r="7" spans="1:11" ht="15.6" x14ac:dyDescent="0.3">
      <c r="A7" s="2" t="s">
        <v>16</v>
      </c>
      <c r="B7" s="1">
        <v>35000</v>
      </c>
      <c r="C7" s="1">
        <v>2000</v>
      </c>
      <c r="D7" s="1">
        <v>3000</v>
      </c>
      <c r="E7" s="1">
        <v>1000</v>
      </c>
      <c r="F7" s="1">
        <v>2000</v>
      </c>
      <c r="G7" s="1">
        <v>1000</v>
      </c>
      <c r="H7" s="1">
        <v>350</v>
      </c>
      <c r="I7" s="1">
        <v>4</v>
      </c>
      <c r="J7" s="1">
        <v>3</v>
      </c>
      <c r="K7" s="3">
        <v>0.06</v>
      </c>
    </row>
    <row r="8" spans="1:11" ht="15.6" x14ac:dyDescent="0.3">
      <c r="A8" s="2" t="s">
        <v>17</v>
      </c>
      <c r="B8" s="1">
        <v>35000</v>
      </c>
      <c r="C8" s="1">
        <v>2000</v>
      </c>
      <c r="D8" s="1">
        <v>2500</v>
      </c>
      <c r="E8" s="1">
        <v>1500</v>
      </c>
      <c r="F8" s="1">
        <v>1500</v>
      </c>
      <c r="G8" s="1">
        <v>500</v>
      </c>
      <c r="H8" s="1">
        <v>350</v>
      </c>
      <c r="I8" s="1">
        <v>2</v>
      </c>
      <c r="J8" s="1">
        <v>2</v>
      </c>
      <c r="K8" s="3">
        <v>0.06</v>
      </c>
    </row>
    <row r="9" spans="1:11" ht="15.6" x14ac:dyDescent="0.3">
      <c r="A9" s="2" t="s">
        <v>18</v>
      </c>
      <c r="B9" s="1">
        <v>25000</v>
      </c>
      <c r="C9" s="1">
        <v>1500</v>
      </c>
      <c r="D9" s="1">
        <v>3000</v>
      </c>
      <c r="E9" s="1">
        <v>1500</v>
      </c>
      <c r="F9" s="1">
        <v>1000</v>
      </c>
      <c r="G9" s="1">
        <v>1000</v>
      </c>
      <c r="H9" s="1">
        <v>250</v>
      </c>
      <c r="I9" s="1">
        <v>1</v>
      </c>
      <c r="J9" s="1">
        <v>0</v>
      </c>
      <c r="K9" s="3">
        <v>0.1</v>
      </c>
    </row>
    <row r="10" spans="1:11" ht="15.6" x14ac:dyDescent="0.3">
      <c r="A10" s="2" t="s">
        <v>19</v>
      </c>
      <c r="B10" s="1">
        <v>35000</v>
      </c>
      <c r="C10" s="1">
        <v>1000</v>
      </c>
      <c r="D10" s="1">
        <v>3500</v>
      </c>
      <c r="E10" s="1">
        <v>1500</v>
      </c>
      <c r="F10" s="1">
        <v>500</v>
      </c>
      <c r="G10" s="1">
        <v>2000</v>
      </c>
      <c r="H10" s="1">
        <v>350</v>
      </c>
      <c r="I10" s="1">
        <v>3</v>
      </c>
      <c r="J10" s="1">
        <v>2</v>
      </c>
      <c r="K10" s="3">
        <v>0.06</v>
      </c>
    </row>
    <row r="11" spans="1:11" ht="15.6" x14ac:dyDescent="0.3">
      <c r="A11" s="2" t="s">
        <v>20</v>
      </c>
      <c r="B11" s="1">
        <v>25000</v>
      </c>
      <c r="C11" s="1">
        <v>3000</v>
      </c>
      <c r="D11" s="1">
        <v>4000</v>
      </c>
      <c r="E11" s="1">
        <v>2000</v>
      </c>
      <c r="F11" s="1">
        <v>0</v>
      </c>
      <c r="G11" s="1">
        <v>500</v>
      </c>
      <c r="H11" s="1">
        <v>250</v>
      </c>
      <c r="I11" s="1">
        <v>2</v>
      </c>
      <c r="J11" s="1">
        <v>2</v>
      </c>
      <c r="K11" s="3">
        <v>0.06</v>
      </c>
    </row>
    <row r="12" spans="1:11" ht="15.6" x14ac:dyDescent="0.3">
      <c r="A12" s="2" t="s">
        <v>21</v>
      </c>
      <c r="B12" s="1">
        <v>30000</v>
      </c>
      <c r="C12" s="1">
        <v>1500</v>
      </c>
      <c r="D12" s="1">
        <v>4000</v>
      </c>
      <c r="E12" s="1">
        <v>1500</v>
      </c>
      <c r="F12" s="1">
        <v>500</v>
      </c>
      <c r="G12" s="1">
        <v>500</v>
      </c>
      <c r="H12" s="1">
        <v>300</v>
      </c>
      <c r="I12" s="1">
        <v>5</v>
      </c>
      <c r="J12" s="1">
        <v>3</v>
      </c>
      <c r="K12" s="3">
        <v>0</v>
      </c>
    </row>
    <row r="13" spans="1:11" ht="15.6" x14ac:dyDescent="0.3">
      <c r="A13" s="2" t="s">
        <v>22</v>
      </c>
      <c r="B13" s="1">
        <v>35000</v>
      </c>
      <c r="C13" s="1">
        <v>2500</v>
      </c>
      <c r="D13" s="1">
        <v>3500</v>
      </c>
      <c r="E13" s="1">
        <v>1500</v>
      </c>
      <c r="F13" s="1">
        <v>1000</v>
      </c>
      <c r="G13" s="1">
        <v>1000</v>
      </c>
      <c r="H13" s="1">
        <v>350</v>
      </c>
      <c r="I13" s="1">
        <v>3</v>
      </c>
      <c r="J13" s="1">
        <v>3</v>
      </c>
      <c r="K13" s="3">
        <v>0</v>
      </c>
    </row>
    <row r="14" spans="1:11" ht="15.6" x14ac:dyDescent="0.3">
      <c r="A14" s="2" t="s">
        <v>23</v>
      </c>
      <c r="B14" s="1">
        <v>25000</v>
      </c>
      <c r="C14" s="1">
        <v>3000</v>
      </c>
      <c r="D14" s="1">
        <v>2500</v>
      </c>
      <c r="E14" s="1">
        <v>2000</v>
      </c>
      <c r="F14" s="1">
        <v>2000</v>
      </c>
      <c r="G14" s="1">
        <v>0</v>
      </c>
      <c r="H14" s="1">
        <v>250</v>
      </c>
      <c r="I14" s="1">
        <v>2</v>
      </c>
      <c r="J14" s="1">
        <v>0</v>
      </c>
      <c r="K14" s="3">
        <v>0.1</v>
      </c>
    </row>
    <row r="15" spans="1:11" ht="15.6" x14ac:dyDescent="0.3">
      <c r="A15" s="2" t="s">
        <v>24</v>
      </c>
      <c r="B15" s="1">
        <v>30000</v>
      </c>
      <c r="C15" s="1">
        <v>1000</v>
      </c>
      <c r="D15" s="1">
        <v>4000</v>
      </c>
      <c r="E15" s="1">
        <v>1500</v>
      </c>
      <c r="F15" s="1">
        <v>0</v>
      </c>
      <c r="G15" s="1">
        <v>0</v>
      </c>
      <c r="H15" s="1">
        <v>300</v>
      </c>
      <c r="I15" s="1">
        <v>2</v>
      </c>
      <c r="J15" s="1">
        <v>2</v>
      </c>
      <c r="K15" s="3">
        <v>0.06</v>
      </c>
    </row>
    <row r="16" spans="1:11" ht="15.6" x14ac:dyDescent="0.3">
      <c r="A16" s="2" t="s">
        <v>25</v>
      </c>
      <c r="B16" s="1">
        <v>35000</v>
      </c>
      <c r="C16" s="1">
        <v>1000</v>
      </c>
      <c r="D16" s="1">
        <v>3000</v>
      </c>
      <c r="E16" s="1">
        <v>2000</v>
      </c>
      <c r="F16" s="1">
        <v>2000</v>
      </c>
      <c r="G16" s="1">
        <v>1000</v>
      </c>
      <c r="H16" s="1">
        <v>350</v>
      </c>
      <c r="I16" s="1">
        <v>1</v>
      </c>
      <c r="J16" s="1">
        <v>0</v>
      </c>
      <c r="K16" s="3">
        <v>0.1</v>
      </c>
    </row>
    <row r="17" spans="1:11" ht="15.6" x14ac:dyDescent="0.3">
      <c r="A17" s="2" t="s">
        <v>26</v>
      </c>
      <c r="B17" s="1">
        <v>35000</v>
      </c>
      <c r="C17" s="1">
        <v>2000</v>
      </c>
      <c r="D17" s="1">
        <v>3000</v>
      </c>
      <c r="E17" s="1">
        <v>1500</v>
      </c>
      <c r="F17" s="1">
        <v>1500</v>
      </c>
      <c r="G17" s="1">
        <v>1000</v>
      </c>
      <c r="H17" s="1">
        <v>350</v>
      </c>
      <c r="I17" s="1">
        <v>6</v>
      </c>
      <c r="J17" s="1">
        <v>6</v>
      </c>
      <c r="K17" s="3">
        <v>0</v>
      </c>
    </row>
    <row r="18" spans="1:11" ht="15.6" x14ac:dyDescent="0.3">
      <c r="A18" s="2" t="s">
        <v>27</v>
      </c>
      <c r="B18" s="1">
        <v>30000</v>
      </c>
      <c r="C18" s="1">
        <v>1500</v>
      </c>
      <c r="D18" s="1">
        <v>2500</v>
      </c>
      <c r="E18" s="1">
        <v>1500</v>
      </c>
      <c r="F18" s="1">
        <v>1500</v>
      </c>
      <c r="G18" s="1">
        <v>1000</v>
      </c>
      <c r="H18" s="1">
        <v>300</v>
      </c>
      <c r="I18" s="1">
        <v>4</v>
      </c>
      <c r="J18" s="1">
        <v>3</v>
      </c>
      <c r="K18" s="3">
        <v>0.06</v>
      </c>
    </row>
    <row r="19" spans="1:11" ht="15.6" x14ac:dyDescent="0.3">
      <c r="A19" s="2" t="s">
        <v>28</v>
      </c>
      <c r="B19" s="1">
        <v>40000</v>
      </c>
      <c r="C19" s="1">
        <v>2000</v>
      </c>
      <c r="D19" s="1">
        <v>2000</v>
      </c>
      <c r="E19" s="1">
        <v>1500</v>
      </c>
      <c r="F19" s="1">
        <v>1000</v>
      </c>
      <c r="G19" s="1">
        <v>1500</v>
      </c>
      <c r="H19" s="1">
        <v>400</v>
      </c>
      <c r="I19" s="1">
        <v>3</v>
      </c>
      <c r="J19" s="1">
        <v>2</v>
      </c>
      <c r="K19" s="3">
        <v>0.06</v>
      </c>
    </row>
    <row r="20" spans="1:11" ht="15.6" x14ac:dyDescent="0.3">
      <c r="A20" s="2" t="s">
        <v>29</v>
      </c>
      <c r="B20" s="1">
        <v>35000</v>
      </c>
      <c r="C20" s="1">
        <v>1500</v>
      </c>
      <c r="D20" s="1">
        <v>3500</v>
      </c>
      <c r="E20" s="1">
        <v>2000</v>
      </c>
      <c r="F20" s="1">
        <v>500</v>
      </c>
      <c r="G20" s="1">
        <v>500</v>
      </c>
      <c r="H20" s="1">
        <v>350</v>
      </c>
      <c r="I20" s="1">
        <v>5</v>
      </c>
      <c r="J20" s="1">
        <v>4</v>
      </c>
      <c r="K20" s="3">
        <v>0.06</v>
      </c>
    </row>
    <row r="21" spans="1:11" ht="15.6" x14ac:dyDescent="0.3">
      <c r="A21" s="2" t="s">
        <v>30</v>
      </c>
      <c r="B21" s="1">
        <v>20000</v>
      </c>
      <c r="C21" s="1">
        <v>1500</v>
      </c>
      <c r="D21" s="1">
        <v>2500</v>
      </c>
      <c r="E21" s="1">
        <v>1500</v>
      </c>
      <c r="F21" s="1">
        <v>0</v>
      </c>
      <c r="G21" s="1">
        <v>1000</v>
      </c>
      <c r="H21" s="1">
        <v>200</v>
      </c>
      <c r="I21" s="1">
        <v>5</v>
      </c>
      <c r="J21" s="1">
        <v>4</v>
      </c>
      <c r="K21" s="3">
        <v>0</v>
      </c>
    </row>
    <row r="22" spans="1:11" ht="15.6" x14ac:dyDescent="0.3">
      <c r="A22" s="2" t="s">
        <v>31</v>
      </c>
      <c r="B22" s="1">
        <v>35000</v>
      </c>
      <c r="C22" s="1">
        <v>3000</v>
      </c>
      <c r="D22" s="1">
        <v>3500</v>
      </c>
      <c r="E22" s="1">
        <v>1500</v>
      </c>
      <c r="F22" s="1">
        <v>2000</v>
      </c>
      <c r="G22" s="1">
        <v>1000</v>
      </c>
      <c r="H22" s="1">
        <v>350</v>
      </c>
      <c r="I22" s="1">
        <v>2</v>
      </c>
      <c r="J22" s="1">
        <v>1</v>
      </c>
      <c r="K22" s="3">
        <v>0.06</v>
      </c>
    </row>
    <row r="23" spans="1:11" ht="15.6" x14ac:dyDescent="0.3">
      <c r="A23" s="2" t="s">
        <v>32</v>
      </c>
      <c r="B23" s="1">
        <v>35000</v>
      </c>
      <c r="C23" s="1">
        <v>2000</v>
      </c>
      <c r="D23" s="1">
        <v>2000</v>
      </c>
      <c r="E23" s="1">
        <v>1500</v>
      </c>
      <c r="F23" s="1">
        <v>1500</v>
      </c>
      <c r="G23" s="1">
        <v>500</v>
      </c>
      <c r="H23" s="1">
        <v>350</v>
      </c>
      <c r="I23" s="1">
        <v>5</v>
      </c>
      <c r="J23" s="1">
        <v>5</v>
      </c>
      <c r="K23" s="3">
        <v>0</v>
      </c>
    </row>
    <row r="24" spans="1:11" ht="15.6" x14ac:dyDescent="0.3">
      <c r="A24" s="2" t="s">
        <v>33</v>
      </c>
      <c r="B24" s="1">
        <v>25000</v>
      </c>
      <c r="C24" s="1">
        <v>3000</v>
      </c>
      <c r="D24" s="1">
        <v>3500</v>
      </c>
      <c r="E24" s="1">
        <v>1500</v>
      </c>
      <c r="F24" s="1">
        <v>2000</v>
      </c>
      <c r="G24" s="1">
        <v>2000</v>
      </c>
      <c r="H24" s="1">
        <v>250</v>
      </c>
      <c r="I24" s="1">
        <v>2</v>
      </c>
      <c r="J24" s="1">
        <v>2</v>
      </c>
      <c r="K24" s="3">
        <v>0.1</v>
      </c>
    </row>
    <row r="25" spans="1:11" ht="15.6" x14ac:dyDescent="0.3">
      <c r="A25" s="2" t="s">
        <v>34</v>
      </c>
      <c r="B25" s="1">
        <v>35000</v>
      </c>
      <c r="C25" s="1">
        <v>1500</v>
      </c>
      <c r="D25" s="1">
        <v>3500</v>
      </c>
      <c r="E25" s="1">
        <v>1500</v>
      </c>
      <c r="F25" s="1">
        <v>1000</v>
      </c>
      <c r="G25" s="1">
        <v>2000</v>
      </c>
      <c r="H25" s="1">
        <v>350</v>
      </c>
      <c r="I25" s="1">
        <v>2</v>
      </c>
      <c r="J25" s="1">
        <v>2</v>
      </c>
      <c r="K25" s="3">
        <v>0.1</v>
      </c>
    </row>
    <row r="26" spans="1:11" ht="15.6" x14ac:dyDescent="0.3">
      <c r="A26" s="2" t="s">
        <v>35</v>
      </c>
      <c r="B26" s="1">
        <v>30000</v>
      </c>
      <c r="C26" s="1">
        <v>3000</v>
      </c>
      <c r="D26" s="1">
        <v>2500</v>
      </c>
      <c r="E26" s="1">
        <v>2000</v>
      </c>
      <c r="F26" s="1">
        <v>1500</v>
      </c>
      <c r="G26" s="1">
        <v>1000</v>
      </c>
      <c r="H26" s="1">
        <v>300</v>
      </c>
      <c r="I26" s="1">
        <v>2</v>
      </c>
      <c r="J26" s="1">
        <v>0</v>
      </c>
      <c r="K26" s="3">
        <v>0.1</v>
      </c>
    </row>
    <row r="27" spans="1:11" ht="15.6" x14ac:dyDescent="0.3">
      <c r="A27" s="2" t="s">
        <v>36</v>
      </c>
      <c r="B27" s="1">
        <v>35000</v>
      </c>
      <c r="C27" s="1">
        <v>2000</v>
      </c>
      <c r="D27" s="1">
        <v>3500</v>
      </c>
      <c r="E27" s="1">
        <v>1500</v>
      </c>
      <c r="F27" s="1">
        <v>1500</v>
      </c>
      <c r="G27" s="1">
        <v>500</v>
      </c>
      <c r="H27" s="1">
        <v>350</v>
      </c>
      <c r="I27" s="1">
        <v>3</v>
      </c>
      <c r="J27" s="1">
        <v>1</v>
      </c>
      <c r="K27" s="3">
        <v>0.06</v>
      </c>
    </row>
    <row r="28" spans="1:11" ht="15.6" x14ac:dyDescent="0.3">
      <c r="A28" s="2" t="s">
        <v>37</v>
      </c>
      <c r="B28" s="1">
        <v>35000</v>
      </c>
      <c r="C28" s="1">
        <v>1500</v>
      </c>
      <c r="D28" s="1">
        <v>2500</v>
      </c>
      <c r="E28" s="1">
        <v>1500</v>
      </c>
      <c r="F28" s="1">
        <v>500</v>
      </c>
      <c r="G28" s="1">
        <v>1000</v>
      </c>
      <c r="H28" s="1">
        <v>350</v>
      </c>
      <c r="I28" s="1">
        <v>1</v>
      </c>
      <c r="J28" s="1">
        <v>0</v>
      </c>
      <c r="K28" s="3">
        <v>0.1</v>
      </c>
    </row>
    <row r="29" spans="1:11" ht="15.6" x14ac:dyDescent="0.3">
      <c r="A29" s="2" t="s">
        <v>38</v>
      </c>
      <c r="B29" s="1">
        <v>30000</v>
      </c>
      <c r="C29" s="1">
        <v>1500</v>
      </c>
      <c r="D29" s="1">
        <v>2500</v>
      </c>
      <c r="E29" s="1">
        <v>1500</v>
      </c>
      <c r="F29" s="1">
        <v>1000</v>
      </c>
      <c r="G29" s="1">
        <v>1500</v>
      </c>
      <c r="H29" s="1">
        <v>300</v>
      </c>
      <c r="I29" s="1">
        <v>6</v>
      </c>
      <c r="J29" s="1">
        <v>5</v>
      </c>
      <c r="K29" s="3">
        <v>0</v>
      </c>
    </row>
    <row r="30" spans="1:11" ht="15.6" x14ac:dyDescent="0.3">
      <c r="A30" s="2" t="s">
        <v>39</v>
      </c>
      <c r="B30" s="1">
        <v>20000</v>
      </c>
      <c r="C30" s="1">
        <v>2500</v>
      </c>
      <c r="D30" s="1">
        <v>3500</v>
      </c>
      <c r="E30" s="1">
        <v>1500</v>
      </c>
      <c r="F30" s="1">
        <v>2000</v>
      </c>
      <c r="G30" s="1">
        <v>1000</v>
      </c>
      <c r="H30" s="1">
        <v>200</v>
      </c>
      <c r="I30" s="1">
        <v>1</v>
      </c>
      <c r="J30" s="1">
        <v>0</v>
      </c>
      <c r="K30" s="3">
        <v>0.1</v>
      </c>
    </row>
    <row r="31" spans="1:11" ht="15.6" x14ac:dyDescent="0.3">
      <c r="A31" s="2" t="s">
        <v>40</v>
      </c>
      <c r="B31" s="1">
        <v>40000</v>
      </c>
      <c r="C31" s="1">
        <v>1500</v>
      </c>
      <c r="D31" s="1">
        <v>3000</v>
      </c>
      <c r="E31" s="1">
        <v>2000</v>
      </c>
      <c r="F31" s="1">
        <v>500</v>
      </c>
      <c r="G31" s="1">
        <v>1000</v>
      </c>
      <c r="H31" s="1">
        <v>400</v>
      </c>
      <c r="I31" s="1">
        <v>5</v>
      </c>
      <c r="J31" s="1">
        <v>4</v>
      </c>
      <c r="K31" s="3"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"/>
  <dimension ref="A1:O31"/>
  <sheetViews>
    <sheetView tabSelected="1" zoomScale="80" zoomScaleNormal="80" workbookViewId="0">
      <selection activeCell="S10" sqref="S10"/>
    </sheetView>
  </sheetViews>
  <sheetFormatPr defaultColWidth="9" defaultRowHeight="15" x14ac:dyDescent="0.3"/>
  <cols>
    <col min="1" max="7" width="10.375" style="1" bestFit="1" customWidth="1"/>
    <col min="8" max="10" width="20.375" style="1" bestFit="1" customWidth="1"/>
    <col min="11" max="11" width="8.25" style="1" bestFit="1" customWidth="1"/>
    <col min="12" max="12" width="20.375" style="1" bestFit="1" customWidth="1"/>
    <col min="13" max="13" width="8.25" style="1" bestFit="1" customWidth="1"/>
    <col min="14" max="14" width="13" style="1" bestFit="1" customWidth="1"/>
    <col min="15" max="15" width="10.375" style="1" bestFit="1" customWidth="1"/>
    <col min="16" max="16384" width="9" style="1"/>
  </cols>
  <sheetData>
    <row r="1" spans="1:15" x14ac:dyDescent="0.3">
      <c r="A1" s="1" t="s">
        <v>0</v>
      </c>
      <c r="B1" s="1" t="s">
        <v>41</v>
      </c>
      <c r="C1" s="1" t="s">
        <v>44</v>
      </c>
      <c r="D1" s="1" t="s">
        <v>42</v>
      </c>
      <c r="E1" s="1" t="s">
        <v>45</v>
      </c>
      <c r="F1" s="1" t="s">
        <v>43</v>
      </c>
      <c r="G1" s="1" t="s">
        <v>46</v>
      </c>
      <c r="H1" s="1" t="s">
        <v>47</v>
      </c>
      <c r="I1" s="1" t="s">
        <v>48</v>
      </c>
      <c r="J1" s="1" t="s">
        <v>49</v>
      </c>
      <c r="K1" s="1" t="s">
        <v>50</v>
      </c>
      <c r="L1" s="1" t="s">
        <v>51</v>
      </c>
      <c r="M1" s="1" t="s">
        <v>52</v>
      </c>
      <c r="N1" s="1" t="s">
        <v>53</v>
      </c>
      <c r="O1" s="1" t="s">
        <v>54</v>
      </c>
    </row>
    <row r="2" spans="1:15" ht="15.6" x14ac:dyDescent="0.3">
      <c r="A2" s="2" t="s">
        <v>11</v>
      </c>
      <c r="B2" s="1">
        <v>4</v>
      </c>
      <c r="C2" s="1">
        <v>773</v>
      </c>
      <c r="D2" s="1">
        <v>2</v>
      </c>
      <c r="E2" s="1">
        <v>129</v>
      </c>
      <c r="F2" s="1">
        <v>2</v>
      </c>
      <c r="G2" s="1">
        <v>129</v>
      </c>
      <c r="H2" s="1">
        <v>32515</v>
      </c>
      <c r="I2" s="1">
        <v>30000</v>
      </c>
      <c r="J2" s="1">
        <f>bol(I2)</f>
        <v>30300</v>
      </c>
      <c r="K2" s="1">
        <v>394</v>
      </c>
      <c r="L2" s="1">
        <v>30300</v>
      </c>
      <c r="M2" s="1">
        <v>1159</v>
      </c>
      <c r="N2" s="1">
        <v>1951</v>
      </c>
      <c r="O2" s="1">
        <v>28761</v>
      </c>
    </row>
    <row r="3" spans="1:15" ht="15.6" x14ac:dyDescent="0.3">
      <c r="A3" s="2" t="s">
        <v>12</v>
      </c>
      <c r="B3" s="1">
        <v>1</v>
      </c>
      <c r="C3" s="1">
        <v>230</v>
      </c>
      <c r="D3" s="1">
        <v>2</v>
      </c>
      <c r="E3" s="1">
        <v>153</v>
      </c>
      <c r="F3" s="1">
        <v>2</v>
      </c>
      <c r="G3" s="1">
        <v>153</v>
      </c>
      <c r="H3" s="1">
        <v>37924</v>
      </c>
      <c r="I3" s="1">
        <v>36000</v>
      </c>
      <c r="J3" s="1">
        <f t="shared" ref="J3:J31" si="0">bol(I3)</f>
        <v>36300</v>
      </c>
      <c r="K3" s="1">
        <v>472</v>
      </c>
      <c r="L3" s="1">
        <v>36300</v>
      </c>
      <c r="M3" s="1">
        <v>463</v>
      </c>
      <c r="N3" s="1">
        <v>3792</v>
      </c>
      <c r="O3" s="1">
        <v>32897</v>
      </c>
    </row>
    <row r="4" spans="1:15" ht="15.6" x14ac:dyDescent="0.3">
      <c r="A4" s="2" t="s">
        <v>13</v>
      </c>
      <c r="B4" s="1">
        <v>0</v>
      </c>
      <c r="C4" s="1">
        <v>0</v>
      </c>
      <c r="D4" s="1">
        <v>1</v>
      </c>
      <c r="E4" s="1">
        <v>88</v>
      </c>
      <c r="F4" s="1">
        <v>2</v>
      </c>
      <c r="G4" s="1">
        <v>176</v>
      </c>
      <c r="H4" s="1">
        <v>43236</v>
      </c>
      <c r="I4" s="1">
        <v>41000</v>
      </c>
      <c r="J4" s="1">
        <f t="shared" si="0"/>
        <v>42000</v>
      </c>
      <c r="K4" s="1">
        <v>546</v>
      </c>
      <c r="L4" s="1">
        <v>42000</v>
      </c>
      <c r="M4" s="1">
        <v>2678</v>
      </c>
      <c r="N4" s="1">
        <v>2594</v>
      </c>
      <c r="O4" s="1">
        <v>37068</v>
      </c>
    </row>
    <row r="5" spans="1:15" ht="15.6" x14ac:dyDescent="0.3">
      <c r="A5" s="2" t="s">
        <v>14</v>
      </c>
      <c r="B5" s="1">
        <v>1</v>
      </c>
      <c r="C5" s="1">
        <v>227</v>
      </c>
      <c r="D5" s="1">
        <v>1</v>
      </c>
      <c r="E5" s="1">
        <v>76</v>
      </c>
      <c r="F5" s="1">
        <v>4</v>
      </c>
      <c r="G5" s="1">
        <v>302</v>
      </c>
      <c r="H5" s="1">
        <v>37349</v>
      </c>
      <c r="I5" s="1">
        <v>35500</v>
      </c>
      <c r="J5" s="1">
        <f t="shared" si="0"/>
        <v>36300</v>
      </c>
      <c r="K5" s="1">
        <v>472</v>
      </c>
      <c r="L5" s="1">
        <v>36300</v>
      </c>
      <c r="M5" s="1">
        <v>1851</v>
      </c>
      <c r="N5" s="1">
        <v>2241</v>
      </c>
      <c r="O5" s="1">
        <v>32485</v>
      </c>
    </row>
    <row r="6" spans="1:15" ht="15.6" x14ac:dyDescent="0.3">
      <c r="A6" s="2" t="s">
        <v>15</v>
      </c>
      <c r="B6" s="1">
        <v>3</v>
      </c>
      <c r="C6" s="1">
        <v>780</v>
      </c>
      <c r="D6" s="1">
        <v>1</v>
      </c>
      <c r="E6" s="1">
        <v>87</v>
      </c>
      <c r="F6" s="1">
        <v>1</v>
      </c>
      <c r="G6" s="1">
        <v>87</v>
      </c>
      <c r="H6" s="1">
        <v>44106</v>
      </c>
      <c r="I6" s="1">
        <v>40500</v>
      </c>
      <c r="J6" s="1">
        <f t="shared" si="0"/>
        <v>42000</v>
      </c>
      <c r="K6" s="1">
        <v>546</v>
      </c>
      <c r="L6" s="1">
        <v>42000</v>
      </c>
      <c r="M6" s="1">
        <v>2142</v>
      </c>
      <c r="N6" s="1">
        <v>2646</v>
      </c>
      <c r="O6" s="1">
        <v>38422</v>
      </c>
    </row>
    <row r="7" spans="1:15" ht="15.6" x14ac:dyDescent="0.3">
      <c r="A7" s="2" t="s">
        <v>16</v>
      </c>
      <c r="B7" s="1">
        <v>9</v>
      </c>
      <c r="C7" s="1">
        <v>2400</v>
      </c>
      <c r="D7" s="1">
        <v>2</v>
      </c>
      <c r="E7" s="1">
        <v>178</v>
      </c>
      <c r="F7" s="1">
        <v>0</v>
      </c>
      <c r="G7" s="1">
        <v>0</v>
      </c>
      <c r="H7" s="1">
        <v>46222</v>
      </c>
      <c r="I7" s="1">
        <v>41000</v>
      </c>
      <c r="J7" s="1">
        <f t="shared" si="0"/>
        <v>42000</v>
      </c>
      <c r="K7" s="1">
        <v>546</v>
      </c>
      <c r="L7" s="1">
        <v>42000</v>
      </c>
      <c r="M7" s="1">
        <v>2678</v>
      </c>
      <c r="N7" s="1">
        <v>2773</v>
      </c>
      <c r="O7" s="1">
        <v>39875</v>
      </c>
    </row>
    <row r="8" spans="1:15" ht="15.6" x14ac:dyDescent="0.3">
      <c r="A8" s="2" t="s">
        <v>17</v>
      </c>
      <c r="B8" s="1">
        <v>5</v>
      </c>
      <c r="C8" s="1">
        <v>1317</v>
      </c>
      <c r="D8" s="1">
        <v>0</v>
      </c>
      <c r="E8" s="1">
        <v>0</v>
      </c>
      <c r="F8" s="1">
        <v>2</v>
      </c>
      <c r="G8" s="1">
        <v>176</v>
      </c>
      <c r="H8" s="1">
        <v>44141</v>
      </c>
      <c r="I8" s="1">
        <v>41000</v>
      </c>
      <c r="J8" s="1">
        <f t="shared" si="0"/>
        <v>42000</v>
      </c>
      <c r="K8" s="1">
        <v>546</v>
      </c>
      <c r="L8" s="1">
        <v>42000</v>
      </c>
      <c r="M8" s="1">
        <v>1607</v>
      </c>
      <c r="N8" s="1">
        <v>2648</v>
      </c>
      <c r="O8" s="1">
        <v>38990</v>
      </c>
    </row>
    <row r="9" spans="1:15" ht="15.6" x14ac:dyDescent="0.3">
      <c r="A9" s="2" t="s">
        <v>18</v>
      </c>
      <c r="B9" s="1">
        <v>5</v>
      </c>
      <c r="C9" s="1">
        <v>983</v>
      </c>
      <c r="D9" s="1">
        <v>2</v>
      </c>
      <c r="E9" s="1">
        <v>131</v>
      </c>
      <c r="F9" s="1">
        <v>3</v>
      </c>
      <c r="G9" s="1">
        <v>197</v>
      </c>
      <c r="H9" s="1">
        <v>33655</v>
      </c>
      <c r="I9" s="1">
        <v>31000</v>
      </c>
      <c r="J9" s="1">
        <f t="shared" si="0"/>
        <v>34800</v>
      </c>
      <c r="K9" s="1">
        <v>452</v>
      </c>
      <c r="L9" s="1">
        <v>34800</v>
      </c>
      <c r="M9" s="1">
        <v>887</v>
      </c>
      <c r="N9" s="1">
        <v>3366</v>
      </c>
      <c r="O9" s="1">
        <v>28700</v>
      </c>
    </row>
    <row r="10" spans="1:15" ht="15.6" x14ac:dyDescent="0.3">
      <c r="A10" s="2" t="s">
        <v>19</v>
      </c>
      <c r="B10" s="1">
        <v>1</v>
      </c>
      <c r="C10" s="1">
        <v>263</v>
      </c>
      <c r="D10" s="1">
        <v>1</v>
      </c>
      <c r="E10" s="1">
        <v>88</v>
      </c>
      <c r="F10" s="1">
        <v>2</v>
      </c>
      <c r="G10" s="1">
        <v>176</v>
      </c>
      <c r="H10" s="1">
        <v>43499</v>
      </c>
      <c r="I10" s="1">
        <v>41000</v>
      </c>
      <c r="J10" s="1">
        <f t="shared" si="0"/>
        <v>42000</v>
      </c>
      <c r="K10" s="1">
        <v>546</v>
      </c>
      <c r="L10" s="1">
        <v>42000</v>
      </c>
      <c r="M10" s="1">
        <v>2142</v>
      </c>
      <c r="N10" s="1">
        <v>2610</v>
      </c>
      <c r="O10" s="1">
        <v>37851</v>
      </c>
    </row>
    <row r="11" spans="1:15" ht="15.6" x14ac:dyDescent="0.3">
      <c r="A11" s="2" t="s">
        <v>20</v>
      </c>
      <c r="B11" s="1">
        <v>10</v>
      </c>
      <c r="C11" s="1">
        <v>2133</v>
      </c>
      <c r="D11" s="1">
        <v>2</v>
      </c>
      <c r="E11" s="1">
        <v>142</v>
      </c>
      <c r="F11" s="1">
        <v>0</v>
      </c>
      <c r="G11" s="1">
        <v>0</v>
      </c>
      <c r="H11" s="1">
        <v>36491</v>
      </c>
      <c r="I11" s="1">
        <v>34000</v>
      </c>
      <c r="J11" s="1">
        <f t="shared" si="0"/>
        <v>34800</v>
      </c>
      <c r="K11" s="1">
        <v>452</v>
      </c>
      <c r="L11" s="1">
        <v>34800</v>
      </c>
      <c r="M11" s="1">
        <v>1331</v>
      </c>
      <c r="N11" s="1">
        <v>2189</v>
      </c>
      <c r="O11" s="1">
        <v>32269</v>
      </c>
    </row>
    <row r="12" spans="1:15" ht="15.6" x14ac:dyDescent="0.3">
      <c r="A12" s="2" t="s">
        <v>21</v>
      </c>
      <c r="B12" s="1">
        <v>8</v>
      </c>
      <c r="C12" s="1">
        <v>1893</v>
      </c>
      <c r="D12" s="1">
        <v>3</v>
      </c>
      <c r="E12" s="1">
        <v>237</v>
      </c>
      <c r="F12" s="1">
        <v>1</v>
      </c>
      <c r="G12" s="1">
        <v>79</v>
      </c>
      <c r="H12" s="1">
        <v>39577</v>
      </c>
      <c r="I12" s="1">
        <v>37000</v>
      </c>
      <c r="J12" s="1">
        <f t="shared" si="0"/>
        <v>38200</v>
      </c>
      <c r="K12" s="1">
        <v>497</v>
      </c>
      <c r="L12" s="1">
        <v>38200</v>
      </c>
      <c r="M12" s="1">
        <v>2922</v>
      </c>
      <c r="N12" s="1">
        <v>0</v>
      </c>
      <c r="O12" s="1">
        <v>35858</v>
      </c>
    </row>
    <row r="13" spans="1:15" ht="15.6" x14ac:dyDescent="0.3">
      <c r="A13" s="2" t="s">
        <v>22</v>
      </c>
      <c r="B13" s="1">
        <v>4</v>
      </c>
      <c r="C13" s="1">
        <v>1093</v>
      </c>
      <c r="D13" s="1">
        <v>1</v>
      </c>
      <c r="E13" s="1">
        <v>91</v>
      </c>
      <c r="F13" s="1">
        <v>4</v>
      </c>
      <c r="G13" s="1">
        <v>364</v>
      </c>
      <c r="H13" s="1">
        <v>45138</v>
      </c>
      <c r="I13" s="1">
        <v>42500</v>
      </c>
      <c r="J13" s="1">
        <f t="shared" si="0"/>
        <v>42000</v>
      </c>
      <c r="K13" s="1">
        <v>546</v>
      </c>
      <c r="L13" s="1">
        <v>42000</v>
      </c>
      <c r="M13" s="1">
        <v>2142</v>
      </c>
      <c r="N13" s="1">
        <v>0</v>
      </c>
      <c r="O13" s="1">
        <v>42100</v>
      </c>
    </row>
    <row r="14" spans="1:15" ht="15.6" x14ac:dyDescent="0.3">
      <c r="A14" s="2" t="s">
        <v>23</v>
      </c>
      <c r="B14" s="1">
        <v>7</v>
      </c>
      <c r="C14" s="1">
        <v>1423</v>
      </c>
      <c r="D14" s="1">
        <v>2</v>
      </c>
      <c r="E14" s="1">
        <v>136</v>
      </c>
      <c r="F14" s="1">
        <v>0</v>
      </c>
      <c r="G14" s="1">
        <v>0</v>
      </c>
      <c r="H14" s="1">
        <v>35787</v>
      </c>
      <c r="I14" s="1">
        <v>32500</v>
      </c>
      <c r="J14" s="1">
        <f t="shared" si="0"/>
        <v>34800</v>
      </c>
      <c r="K14" s="1">
        <v>452</v>
      </c>
      <c r="L14" s="1">
        <v>34800</v>
      </c>
      <c r="M14" s="1">
        <v>1331</v>
      </c>
      <c r="N14" s="1">
        <v>3579</v>
      </c>
      <c r="O14" s="1">
        <v>30175</v>
      </c>
    </row>
    <row r="15" spans="1:15" ht="15.6" x14ac:dyDescent="0.3">
      <c r="A15" s="2" t="s">
        <v>24</v>
      </c>
      <c r="B15" s="1">
        <v>4</v>
      </c>
      <c r="C15" s="1">
        <v>933</v>
      </c>
      <c r="D15" s="1">
        <v>1</v>
      </c>
      <c r="E15" s="1">
        <v>78</v>
      </c>
      <c r="F15" s="1">
        <v>2</v>
      </c>
      <c r="G15" s="1">
        <v>156</v>
      </c>
      <c r="H15" s="1">
        <v>37199</v>
      </c>
      <c r="I15" s="1">
        <v>36500</v>
      </c>
      <c r="J15" s="1">
        <f t="shared" si="0"/>
        <v>38200</v>
      </c>
      <c r="K15" s="1">
        <v>497</v>
      </c>
      <c r="L15" s="1">
        <v>38200</v>
      </c>
      <c r="M15" s="1">
        <v>1461</v>
      </c>
      <c r="N15" s="1">
        <v>2232</v>
      </c>
      <c r="O15" s="1">
        <v>32709</v>
      </c>
    </row>
    <row r="16" spans="1:15" ht="15.6" x14ac:dyDescent="0.3">
      <c r="A16" s="2" t="s">
        <v>25</v>
      </c>
      <c r="B16" s="1">
        <v>2</v>
      </c>
      <c r="C16" s="1">
        <v>520</v>
      </c>
      <c r="D16" s="1">
        <v>1</v>
      </c>
      <c r="E16" s="1">
        <v>87</v>
      </c>
      <c r="F16" s="1">
        <v>2</v>
      </c>
      <c r="G16" s="1">
        <v>173</v>
      </c>
      <c r="H16" s="1">
        <v>44260</v>
      </c>
      <c r="I16" s="1">
        <v>41000</v>
      </c>
      <c r="J16" s="1">
        <f t="shared" si="0"/>
        <v>42000</v>
      </c>
      <c r="K16" s="1">
        <v>546</v>
      </c>
      <c r="L16" s="1">
        <v>42000</v>
      </c>
      <c r="M16" s="1">
        <v>1071</v>
      </c>
      <c r="N16" s="1">
        <v>4426</v>
      </c>
      <c r="O16" s="1">
        <v>37867</v>
      </c>
    </row>
    <row r="17" spans="1:15" ht="15.6" x14ac:dyDescent="0.3">
      <c r="A17" s="2" t="s">
        <v>26</v>
      </c>
      <c r="B17" s="1">
        <v>0</v>
      </c>
      <c r="C17" s="1">
        <v>0</v>
      </c>
      <c r="D17" s="1">
        <v>2</v>
      </c>
      <c r="E17" s="1">
        <v>178</v>
      </c>
      <c r="F17" s="1">
        <v>2</v>
      </c>
      <c r="G17" s="1">
        <v>178</v>
      </c>
      <c r="H17" s="1">
        <v>43644</v>
      </c>
      <c r="I17" s="1">
        <v>41500</v>
      </c>
      <c r="J17" s="1">
        <f t="shared" si="0"/>
        <v>42000</v>
      </c>
      <c r="K17" s="1">
        <v>546</v>
      </c>
      <c r="L17" s="1">
        <v>42000</v>
      </c>
      <c r="M17" s="1">
        <v>3749</v>
      </c>
      <c r="N17" s="1">
        <v>0</v>
      </c>
      <c r="O17" s="1">
        <v>38999</v>
      </c>
    </row>
    <row r="18" spans="1:15" ht="15.6" x14ac:dyDescent="0.3">
      <c r="A18" s="2" t="s">
        <v>27</v>
      </c>
      <c r="B18" s="1">
        <v>9</v>
      </c>
      <c r="C18" s="1">
        <v>2040</v>
      </c>
      <c r="D18" s="1">
        <v>3</v>
      </c>
      <c r="E18" s="1">
        <v>227</v>
      </c>
      <c r="F18" s="1">
        <v>3</v>
      </c>
      <c r="G18" s="1">
        <v>227</v>
      </c>
      <c r="H18" s="1">
        <v>39586</v>
      </c>
      <c r="I18" s="1">
        <v>35500</v>
      </c>
      <c r="J18" s="1">
        <f t="shared" si="0"/>
        <v>36300</v>
      </c>
      <c r="K18" s="1">
        <v>472</v>
      </c>
      <c r="L18" s="1">
        <v>36300</v>
      </c>
      <c r="M18" s="1">
        <v>2314</v>
      </c>
      <c r="N18" s="1">
        <v>2375</v>
      </c>
      <c r="O18" s="1">
        <v>34125</v>
      </c>
    </row>
    <row r="19" spans="1:15" ht="15.6" x14ac:dyDescent="0.3">
      <c r="A19" s="2" t="s">
        <v>28</v>
      </c>
      <c r="B19" s="1">
        <v>1</v>
      </c>
      <c r="C19" s="1">
        <v>293</v>
      </c>
      <c r="D19" s="1">
        <v>3</v>
      </c>
      <c r="E19" s="1">
        <v>293</v>
      </c>
      <c r="F19" s="1">
        <v>2</v>
      </c>
      <c r="G19" s="1">
        <v>196</v>
      </c>
      <c r="H19" s="1">
        <v>47804</v>
      </c>
      <c r="I19" s="1">
        <v>45500</v>
      </c>
      <c r="J19" s="1">
        <f t="shared" si="0"/>
        <v>42000</v>
      </c>
      <c r="K19" s="1">
        <v>546</v>
      </c>
      <c r="L19" s="1">
        <v>42000</v>
      </c>
      <c r="M19" s="1">
        <v>2142</v>
      </c>
      <c r="N19" s="1">
        <v>2868</v>
      </c>
      <c r="O19" s="1">
        <v>41848</v>
      </c>
    </row>
    <row r="20" spans="1:15" ht="15.6" x14ac:dyDescent="0.3">
      <c r="A20" s="2" t="s">
        <v>29</v>
      </c>
      <c r="B20" s="1">
        <v>5</v>
      </c>
      <c r="C20" s="1">
        <v>1333</v>
      </c>
      <c r="D20" s="1">
        <v>3</v>
      </c>
      <c r="E20" s="1">
        <v>267</v>
      </c>
      <c r="F20" s="1">
        <v>1</v>
      </c>
      <c r="G20" s="1">
        <v>89</v>
      </c>
      <c r="H20" s="1">
        <v>43977</v>
      </c>
      <c r="I20" s="1">
        <v>42000</v>
      </c>
      <c r="J20" s="1">
        <f t="shared" si="0"/>
        <v>42000</v>
      </c>
      <c r="K20" s="1">
        <v>546</v>
      </c>
      <c r="L20" s="1">
        <v>42000</v>
      </c>
      <c r="M20" s="1">
        <v>3213</v>
      </c>
      <c r="N20" s="1">
        <v>2639</v>
      </c>
      <c r="O20" s="1">
        <v>37229</v>
      </c>
    </row>
    <row r="21" spans="1:15" ht="15.6" x14ac:dyDescent="0.3">
      <c r="A21" s="2" t="s">
        <v>30</v>
      </c>
      <c r="B21" s="1">
        <v>2</v>
      </c>
      <c r="C21" s="1">
        <v>320</v>
      </c>
      <c r="D21" s="1">
        <v>1</v>
      </c>
      <c r="E21" s="1">
        <v>53</v>
      </c>
      <c r="F21" s="1">
        <v>1</v>
      </c>
      <c r="G21" s="1">
        <v>53</v>
      </c>
      <c r="H21" s="1">
        <v>26714</v>
      </c>
      <c r="I21" s="1">
        <v>25500</v>
      </c>
      <c r="J21" s="1">
        <f t="shared" si="0"/>
        <v>26400</v>
      </c>
      <c r="K21" s="1">
        <v>343</v>
      </c>
      <c r="L21" s="1">
        <v>26400</v>
      </c>
      <c r="M21" s="1">
        <v>2020</v>
      </c>
      <c r="N21" s="1">
        <v>0</v>
      </c>
      <c r="O21" s="1">
        <v>24151</v>
      </c>
    </row>
    <row r="22" spans="1:15" ht="15.6" x14ac:dyDescent="0.3">
      <c r="A22" s="2" t="s">
        <v>31</v>
      </c>
      <c r="B22" s="1">
        <v>3</v>
      </c>
      <c r="C22" s="1">
        <v>830</v>
      </c>
      <c r="D22" s="1">
        <v>0</v>
      </c>
      <c r="E22" s="1">
        <v>0</v>
      </c>
      <c r="F22" s="1">
        <v>3</v>
      </c>
      <c r="G22" s="1">
        <v>277</v>
      </c>
      <c r="H22" s="1">
        <v>46553</v>
      </c>
      <c r="I22" s="1">
        <v>43000</v>
      </c>
      <c r="J22" s="1">
        <f t="shared" si="0"/>
        <v>42000</v>
      </c>
      <c r="K22" s="1">
        <v>546</v>
      </c>
      <c r="L22" s="1">
        <v>42000</v>
      </c>
      <c r="M22" s="1">
        <v>1607</v>
      </c>
      <c r="N22" s="1">
        <v>2793</v>
      </c>
      <c r="O22" s="1">
        <v>41257</v>
      </c>
    </row>
    <row r="23" spans="1:15" ht="15.6" x14ac:dyDescent="0.3">
      <c r="A23" s="2" t="s">
        <v>32</v>
      </c>
      <c r="B23" s="1">
        <v>10</v>
      </c>
      <c r="C23" s="1">
        <v>2600</v>
      </c>
      <c r="D23" s="1">
        <v>3</v>
      </c>
      <c r="E23" s="1">
        <v>260</v>
      </c>
      <c r="F23" s="1">
        <v>2</v>
      </c>
      <c r="G23" s="1">
        <v>173</v>
      </c>
      <c r="H23" s="1">
        <v>44667</v>
      </c>
      <c r="I23" s="1">
        <v>40500</v>
      </c>
      <c r="J23" s="1">
        <f t="shared" si="0"/>
        <v>42000</v>
      </c>
      <c r="K23" s="1">
        <v>546</v>
      </c>
      <c r="L23" s="1">
        <v>42000</v>
      </c>
      <c r="M23" s="1">
        <v>3213</v>
      </c>
      <c r="N23" s="1">
        <v>0</v>
      </c>
      <c r="O23" s="1">
        <v>40558</v>
      </c>
    </row>
    <row r="24" spans="1:15" ht="15.6" x14ac:dyDescent="0.3">
      <c r="A24" s="2" t="s">
        <v>33</v>
      </c>
      <c r="B24" s="1">
        <v>5</v>
      </c>
      <c r="C24" s="1">
        <v>1050</v>
      </c>
      <c r="D24" s="1">
        <v>0</v>
      </c>
      <c r="E24" s="1">
        <v>0</v>
      </c>
      <c r="F24" s="1">
        <v>4</v>
      </c>
      <c r="G24" s="1">
        <v>280</v>
      </c>
      <c r="H24" s="1">
        <v>37770</v>
      </c>
      <c r="I24" s="1">
        <v>33000</v>
      </c>
      <c r="J24" s="1">
        <f t="shared" si="0"/>
        <v>34800</v>
      </c>
      <c r="K24" s="1">
        <v>452</v>
      </c>
      <c r="L24" s="1">
        <v>34800</v>
      </c>
      <c r="M24" s="1">
        <v>1331</v>
      </c>
      <c r="N24" s="1">
        <v>3777</v>
      </c>
      <c r="O24" s="1">
        <v>31960</v>
      </c>
    </row>
    <row r="25" spans="1:15" ht="15.6" x14ac:dyDescent="0.3">
      <c r="A25" s="2" t="s">
        <v>34</v>
      </c>
      <c r="B25" s="1">
        <v>2</v>
      </c>
      <c r="C25" s="1">
        <v>533</v>
      </c>
      <c r="D25" s="1">
        <v>0</v>
      </c>
      <c r="E25" s="1">
        <v>0</v>
      </c>
      <c r="F25" s="1">
        <v>1</v>
      </c>
      <c r="G25" s="1">
        <v>89</v>
      </c>
      <c r="H25" s="1">
        <v>44944</v>
      </c>
      <c r="I25" s="1">
        <v>41500</v>
      </c>
      <c r="J25" s="1">
        <f t="shared" si="0"/>
        <v>42000</v>
      </c>
      <c r="K25" s="1">
        <v>546</v>
      </c>
      <c r="L25" s="1">
        <v>42000</v>
      </c>
      <c r="M25" s="1">
        <v>1607</v>
      </c>
      <c r="N25" s="1">
        <v>4494</v>
      </c>
      <c r="O25" s="1">
        <v>37947</v>
      </c>
    </row>
    <row r="26" spans="1:15" ht="15.6" x14ac:dyDescent="0.3">
      <c r="A26" s="2" t="s">
        <v>35</v>
      </c>
      <c r="B26" s="1">
        <v>10</v>
      </c>
      <c r="C26" s="1">
        <v>2367</v>
      </c>
      <c r="D26" s="1">
        <v>2</v>
      </c>
      <c r="E26" s="1">
        <v>158</v>
      </c>
      <c r="F26" s="1">
        <v>1</v>
      </c>
      <c r="G26" s="1">
        <v>79</v>
      </c>
      <c r="H26" s="1">
        <v>42130</v>
      </c>
      <c r="I26" s="1">
        <v>37500</v>
      </c>
      <c r="J26" s="1">
        <f t="shared" si="0"/>
        <v>38200</v>
      </c>
      <c r="K26" s="1">
        <v>497</v>
      </c>
      <c r="L26" s="1">
        <v>38200</v>
      </c>
      <c r="M26" s="1">
        <v>1461</v>
      </c>
      <c r="N26" s="1">
        <v>4213</v>
      </c>
      <c r="O26" s="1">
        <v>35659</v>
      </c>
    </row>
    <row r="27" spans="1:15" ht="15.6" x14ac:dyDescent="0.3">
      <c r="A27" s="2" t="s">
        <v>36</v>
      </c>
      <c r="B27" s="1">
        <v>6</v>
      </c>
      <c r="C27" s="1">
        <v>1620</v>
      </c>
      <c r="D27" s="1">
        <v>3</v>
      </c>
      <c r="E27" s="1">
        <v>270</v>
      </c>
      <c r="F27" s="1">
        <v>4</v>
      </c>
      <c r="G27" s="1">
        <v>360</v>
      </c>
      <c r="H27" s="1">
        <v>44990</v>
      </c>
      <c r="I27" s="1">
        <v>42000</v>
      </c>
      <c r="J27" s="1">
        <f t="shared" si="0"/>
        <v>42000</v>
      </c>
      <c r="K27" s="1">
        <v>546</v>
      </c>
      <c r="L27" s="1">
        <v>42000</v>
      </c>
      <c r="M27" s="1">
        <v>2142</v>
      </c>
      <c r="N27" s="1">
        <v>2699</v>
      </c>
      <c r="O27" s="1">
        <v>39253</v>
      </c>
    </row>
    <row r="28" spans="1:15" ht="15.6" x14ac:dyDescent="0.3">
      <c r="A28" s="2" t="s">
        <v>37</v>
      </c>
      <c r="B28" s="1">
        <v>4</v>
      </c>
      <c r="C28" s="1">
        <v>1040</v>
      </c>
      <c r="D28" s="1">
        <v>3</v>
      </c>
      <c r="E28" s="1">
        <v>260</v>
      </c>
      <c r="F28" s="1">
        <v>3</v>
      </c>
      <c r="G28" s="1">
        <v>260</v>
      </c>
      <c r="H28" s="1">
        <v>42520</v>
      </c>
      <c r="I28" s="1">
        <v>40500</v>
      </c>
      <c r="J28" s="1">
        <f t="shared" si="0"/>
        <v>42000</v>
      </c>
      <c r="K28" s="1">
        <v>546</v>
      </c>
      <c r="L28" s="1">
        <v>42000</v>
      </c>
      <c r="M28" s="1">
        <v>1071</v>
      </c>
      <c r="N28" s="1">
        <v>4252</v>
      </c>
      <c r="O28" s="1">
        <v>36301</v>
      </c>
    </row>
    <row r="29" spans="1:15" ht="15.6" x14ac:dyDescent="0.3">
      <c r="A29" s="2" t="s">
        <v>38</v>
      </c>
      <c r="B29" s="1">
        <v>7</v>
      </c>
      <c r="C29" s="1">
        <v>1587</v>
      </c>
      <c r="D29" s="1">
        <v>1</v>
      </c>
      <c r="E29" s="1">
        <v>76</v>
      </c>
      <c r="F29" s="1">
        <v>1</v>
      </c>
      <c r="G29" s="1">
        <v>76</v>
      </c>
      <c r="H29" s="1">
        <v>39435</v>
      </c>
      <c r="I29" s="1">
        <v>35500</v>
      </c>
      <c r="J29" s="1">
        <f t="shared" si="0"/>
        <v>36300</v>
      </c>
      <c r="K29" s="1">
        <v>472</v>
      </c>
      <c r="L29" s="1">
        <v>36300</v>
      </c>
      <c r="M29" s="1">
        <v>3240</v>
      </c>
      <c r="N29" s="1">
        <v>0</v>
      </c>
      <c r="O29" s="1">
        <v>35423</v>
      </c>
    </row>
    <row r="30" spans="1:15" ht="15.6" x14ac:dyDescent="0.3">
      <c r="A30" s="2" t="s">
        <v>39</v>
      </c>
      <c r="B30" s="1">
        <v>4</v>
      </c>
      <c r="C30" s="1">
        <v>693</v>
      </c>
      <c r="D30" s="1">
        <v>0</v>
      </c>
      <c r="E30" s="1">
        <v>0</v>
      </c>
      <c r="F30" s="1">
        <v>4</v>
      </c>
      <c r="G30" s="1">
        <v>231</v>
      </c>
      <c r="H30" s="1">
        <v>30962</v>
      </c>
      <c r="I30" s="1">
        <v>27500</v>
      </c>
      <c r="J30" s="1">
        <f t="shared" si="0"/>
        <v>27600</v>
      </c>
      <c r="K30" s="1">
        <v>359</v>
      </c>
      <c r="L30" s="1">
        <v>27600</v>
      </c>
      <c r="M30" s="1">
        <v>704</v>
      </c>
      <c r="N30" s="1">
        <v>3096</v>
      </c>
      <c r="O30" s="1">
        <v>26603</v>
      </c>
    </row>
    <row r="31" spans="1:15" ht="15.6" x14ac:dyDescent="0.3">
      <c r="A31" s="2" t="s">
        <v>40</v>
      </c>
      <c r="B31" s="1">
        <v>4</v>
      </c>
      <c r="C31" s="1">
        <v>1187</v>
      </c>
      <c r="D31" s="1">
        <v>2</v>
      </c>
      <c r="E31" s="1">
        <v>198</v>
      </c>
      <c r="F31" s="1">
        <v>2</v>
      </c>
      <c r="G31" s="1">
        <v>198</v>
      </c>
      <c r="H31" s="1">
        <v>48791</v>
      </c>
      <c r="I31" s="1">
        <v>46500</v>
      </c>
      <c r="J31" s="1">
        <f t="shared" si="0"/>
        <v>42000</v>
      </c>
      <c r="K31" s="1">
        <v>546</v>
      </c>
      <c r="L31" s="1">
        <v>42000</v>
      </c>
      <c r="M31" s="1">
        <v>3213</v>
      </c>
      <c r="N31" s="1">
        <v>0</v>
      </c>
      <c r="O31" s="1">
        <v>44632</v>
      </c>
    </row>
  </sheetData>
  <phoneticPr fontId="1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員工薪資基本資料</vt:lpstr>
      <vt:lpstr>員工薪資試算表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2023-10-27T06:52:43Z</dcterms:modified>
</cp:coreProperties>
</file>